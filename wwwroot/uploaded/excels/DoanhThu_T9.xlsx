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" i="1" l="1"/>
  <c r="I61" i="1"/>
  <c r="I59" i="1"/>
  <c r="I60" i="1"/>
  <c r="I56" i="1" l="1"/>
  <c r="I57" i="1"/>
  <c r="I58" i="1"/>
  <c r="I51" i="1"/>
  <c r="I52" i="1"/>
  <c r="I53" i="1"/>
  <c r="I54" i="1"/>
  <c r="I42" i="1" l="1"/>
  <c r="I43" i="1"/>
  <c r="I44" i="1"/>
  <c r="I45" i="1"/>
  <c r="I46" i="1"/>
  <c r="I47" i="1"/>
  <c r="I48" i="1"/>
  <c r="I49" i="1"/>
  <c r="J26" i="1"/>
  <c r="I41" i="1" l="1"/>
  <c r="I40" i="1"/>
  <c r="I39" i="1"/>
  <c r="I38" i="1"/>
  <c r="I37" i="1"/>
  <c r="I21" i="1" l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6" i="1"/>
  <c r="I11" i="1" l="1"/>
  <c r="I12" i="1"/>
  <c r="I13" i="1"/>
  <c r="I14" i="1"/>
  <c r="I15" i="1"/>
  <c r="I16" i="1"/>
  <c r="I17" i="1"/>
  <c r="I18" i="1"/>
  <c r="I19" i="1"/>
  <c r="I8" i="1" l="1"/>
  <c r="I5" i="1"/>
  <c r="I6" i="1"/>
  <c r="I7" i="1"/>
  <c r="I3" i="1"/>
  <c r="I4" i="1"/>
  <c r="I2" i="1"/>
</calcChain>
</file>

<file path=xl/sharedStrings.xml><?xml version="1.0" encoding="utf-8"?>
<sst xmlns="http://schemas.openxmlformats.org/spreadsheetml/2006/main" count="123" uniqueCount="85">
  <si>
    <t>Ngày</t>
  </si>
  <si>
    <t>Tên</t>
  </si>
  <si>
    <t>Mặt hàng</t>
  </si>
  <si>
    <t>Đơn giá</t>
  </si>
  <si>
    <t>Giá vốn</t>
  </si>
  <si>
    <t>Lợi nhuận ước tính</t>
  </si>
  <si>
    <t>ghi chú</t>
  </si>
  <si>
    <t>ngocthuong_98</t>
  </si>
  <si>
    <t>SL</t>
  </si>
  <si>
    <t>Tổng đơn hàng</t>
  </si>
  <si>
    <t>Doanh thu sau điều chỉnh</t>
  </si>
  <si>
    <t>E100 dây(3,8)</t>
  </si>
  <si>
    <t>Palmolive dây(7,8)</t>
  </si>
  <si>
    <t>ii1j4a2tfo</t>
  </si>
  <si>
    <t>Cindy</t>
  </si>
  <si>
    <t>nguyenvanlang12345</t>
  </si>
  <si>
    <t>Misswhite</t>
  </si>
  <si>
    <t>af87zg6fnp</t>
  </si>
  <si>
    <t>Simple</t>
  </si>
  <si>
    <t>tp4gkmszvg</t>
  </si>
  <si>
    <t>nguyên xuân</t>
  </si>
  <si>
    <t>tanvy0689</t>
  </si>
  <si>
    <t>closeup</t>
  </si>
  <si>
    <t>Tổng</t>
  </si>
  <si>
    <t>dự kiến:9.684, thực:</t>
  </si>
  <si>
    <t>fy74w_ufg9</t>
  </si>
  <si>
    <t>trcngyn196</t>
  </si>
  <si>
    <t>phngthao009</t>
  </si>
  <si>
    <t>kimhnlth104</t>
  </si>
  <si>
    <t>nhuhuyn895</t>
  </si>
  <si>
    <t>3g52w0l58k</t>
  </si>
  <si>
    <t>nguyenngochien307</t>
  </si>
  <si>
    <t>nipulezajg</t>
  </si>
  <si>
    <t>kimngnhuhth145</t>
  </si>
  <si>
    <t>dự kiến:46,213</t>
  </si>
  <si>
    <t>ththyv309</t>
  </si>
  <si>
    <t>truclinhtr19</t>
  </si>
  <si>
    <t>v0ue5hni15</t>
  </si>
  <si>
    <t>phihng955</t>
  </si>
  <si>
    <t>y53rpko2ph</t>
  </si>
  <si>
    <t>honnguncnh082</t>
  </si>
  <si>
    <t>songanhchanel</t>
  </si>
  <si>
    <t>candythaomoc</t>
  </si>
  <si>
    <t>huynhha1999</t>
  </si>
  <si>
    <t>sizlv199v8</t>
  </si>
  <si>
    <t>tuongvy311</t>
  </si>
  <si>
    <t>trantran_juni</t>
  </si>
  <si>
    <t>truongmanhtu1207</t>
  </si>
  <si>
    <t>sngnguynvt</t>
  </si>
  <si>
    <t>nguynngctuyen618</t>
  </si>
  <si>
    <t>misswhite</t>
  </si>
  <si>
    <t>dự kiến:70,891</t>
  </si>
  <si>
    <t>mduyen1271</t>
  </si>
  <si>
    <t>nganngann12</t>
  </si>
  <si>
    <t>quockhanh1205</t>
  </si>
  <si>
    <t>chunguyn944</t>
  </si>
  <si>
    <t>myngoc2432002</t>
  </si>
  <si>
    <t>trinhtu563</t>
  </si>
  <si>
    <t>nhung1.5</t>
  </si>
  <si>
    <t>thuthylth540</t>
  </si>
  <si>
    <t>bmtyi</t>
  </si>
  <si>
    <t>phqqsngnns</t>
  </si>
  <si>
    <t>rouiefrogy</t>
  </si>
  <si>
    <t>midiepthi</t>
  </si>
  <si>
    <t>head ngứa</t>
  </si>
  <si>
    <t>541lpzrnav</t>
  </si>
  <si>
    <t>kcn loreal</t>
  </si>
  <si>
    <t>kimdong1925</t>
  </si>
  <si>
    <t>phucnhi79</t>
  </si>
  <si>
    <t>srm acnes</t>
  </si>
  <si>
    <t>thspjwd1ex</t>
  </si>
  <si>
    <t>srm pond</t>
  </si>
  <si>
    <t>vythao_1998</t>
  </si>
  <si>
    <t>p/s tra xanh</t>
  </si>
  <si>
    <t>82swz26__v</t>
  </si>
  <si>
    <t xml:space="preserve">sgv </t>
  </si>
  <si>
    <t>ngcnhv401</t>
  </si>
  <si>
    <t>cbaxju1icn</t>
  </si>
  <si>
    <t>pantene</t>
  </si>
  <si>
    <t>1(6)</t>
  </si>
  <si>
    <t>tongochau</t>
  </si>
  <si>
    <t>sunsilk xả</t>
  </si>
  <si>
    <t>ngng_87</t>
  </si>
  <si>
    <t>oe96510om4</t>
  </si>
  <si>
    <t>kem s.o.n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</si>
</sst>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4" fontId="0" fillId="0" borderId="0" xfId="0" applyNumberFormat="1"/>
    <xf numFmtId="16" fontId="0" fillId="0" borderId="0" xfId="0" applyNumberFormat="1"/>
    <xf numFmtId="1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B52" workbookViewId="0">
      <selection activeCell="H63" sqref="H63"/>
    </sheetView>
  </sheetViews>
  <sheetFormatPr defaultRowHeight="14.4" x14ac:dyDescent="0.3"/>
  <cols>
    <col min="1" max="1" width="15.109375" customWidth="1"/>
    <col min="2" max="2" width="20.5546875" customWidth="1"/>
    <col min="3" max="4" width="19.5546875" customWidth="1"/>
    <col min="5" max="6" width="16.5546875" customWidth="1"/>
    <col min="7" max="7" width="19.21875" customWidth="1"/>
    <col min="8" max="8" width="17.21875" customWidth="1"/>
    <col min="9" max="9" width="20" customWidth="1"/>
    <col min="10" max="10" width="19.6640625" customWidth="1"/>
    <col min="11" max="11" width="23.6640625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8</v>
      </c>
      <c r="E1" t="s">
        <v>3</v>
      </c>
      <c r="F1" t="s">
        <v>9</v>
      </c>
      <c r="G1" t="s">
        <v>10</v>
      </c>
      <c r="H1" t="s">
        <v>4</v>
      </c>
      <c r="I1" t="s">
        <v>5</v>
      </c>
      <c r="J1" t="s">
        <v>23</v>
      </c>
      <c r="K1" t="s">
        <v>6</v>
      </c>
    </row>
    <row r="2" spans="1:11" x14ac:dyDescent="0.3">
      <c r="A2" s="1">
        <v>45817</v>
      </c>
      <c r="B2" t="s">
        <v>7</v>
      </c>
      <c r="C2" t="s">
        <v>11</v>
      </c>
      <c r="D2">
        <v>5</v>
      </c>
      <c r="E2" s="3">
        <v>35</v>
      </c>
      <c r="F2" s="3">
        <v>83</v>
      </c>
      <c r="G2" s="2">
        <v>60.792999999999999</v>
      </c>
      <c r="H2" s="3">
        <v>42.4</v>
      </c>
      <c r="I2" s="2">
        <f>G2-H2</f>
        <v>18.393000000000001</v>
      </c>
    </row>
    <row r="3" spans="1:11" x14ac:dyDescent="0.3">
      <c r="B3" s="1"/>
      <c r="C3" t="s">
        <v>12</v>
      </c>
      <c r="D3">
        <v>3</v>
      </c>
      <c r="E3" s="3">
        <v>16</v>
      </c>
      <c r="F3" s="3"/>
      <c r="I3" s="2">
        <f t="shared" ref="I3:I62" si="0">G3-H3</f>
        <v>0</v>
      </c>
    </row>
    <row r="4" spans="1:11" x14ac:dyDescent="0.3">
      <c r="A4" s="1">
        <v>45817</v>
      </c>
      <c r="B4" t="s">
        <v>13</v>
      </c>
      <c r="C4" t="s">
        <v>14</v>
      </c>
      <c r="D4">
        <v>1</v>
      </c>
      <c r="E4" s="3">
        <v>90</v>
      </c>
      <c r="F4" s="3">
        <v>90</v>
      </c>
      <c r="G4">
        <v>66.308999999999997</v>
      </c>
      <c r="H4">
        <v>72</v>
      </c>
      <c r="I4" s="2">
        <f t="shared" si="0"/>
        <v>-5.6910000000000025</v>
      </c>
      <c r="K4" s="4">
        <v>0.26319999999999999</v>
      </c>
    </row>
    <row r="5" spans="1:11" x14ac:dyDescent="0.3">
      <c r="A5" s="1">
        <v>45817</v>
      </c>
      <c r="B5" t="s">
        <v>15</v>
      </c>
      <c r="C5" t="s">
        <v>16</v>
      </c>
      <c r="D5">
        <v>1</v>
      </c>
      <c r="E5" s="3">
        <v>39</v>
      </c>
      <c r="F5">
        <v>42</v>
      </c>
      <c r="G5">
        <v>27.588999999999999</v>
      </c>
      <c r="H5">
        <v>29</v>
      </c>
      <c r="I5" s="2">
        <f t="shared" si="0"/>
        <v>-1.4110000000000014</v>
      </c>
      <c r="J5" t="s">
        <v>24</v>
      </c>
    </row>
    <row r="6" spans="1:11" x14ac:dyDescent="0.3">
      <c r="A6" s="1">
        <v>45817</v>
      </c>
      <c r="B6" t="s">
        <v>17</v>
      </c>
      <c r="C6" t="s">
        <v>18</v>
      </c>
      <c r="D6">
        <v>1</v>
      </c>
      <c r="E6" s="3">
        <v>99</v>
      </c>
      <c r="F6" s="3">
        <v>79.2</v>
      </c>
      <c r="G6">
        <v>75.022000000000006</v>
      </c>
      <c r="H6">
        <v>79</v>
      </c>
      <c r="I6" s="2">
        <f t="shared" si="0"/>
        <v>-3.9779999999999944</v>
      </c>
    </row>
    <row r="7" spans="1:11" x14ac:dyDescent="0.3">
      <c r="A7" s="5">
        <v>45817</v>
      </c>
      <c r="B7" t="s">
        <v>19</v>
      </c>
      <c r="C7" t="s">
        <v>20</v>
      </c>
      <c r="D7">
        <v>1</v>
      </c>
      <c r="E7" s="3">
        <v>27</v>
      </c>
      <c r="F7" s="3">
        <v>27</v>
      </c>
      <c r="G7">
        <v>18.277999999999999</v>
      </c>
      <c r="H7">
        <v>19</v>
      </c>
      <c r="I7" s="2">
        <f t="shared" si="0"/>
        <v>-0.72200000000000131</v>
      </c>
    </row>
    <row r="8" spans="1:11" x14ac:dyDescent="0.3">
      <c r="B8" t="s">
        <v>21</v>
      </c>
      <c r="C8" t="s">
        <v>16</v>
      </c>
      <c r="D8">
        <v>1</v>
      </c>
      <c r="E8" s="3">
        <v>39</v>
      </c>
      <c r="F8" s="3">
        <v>88</v>
      </c>
      <c r="G8">
        <v>66.593000000000004</v>
      </c>
      <c r="H8">
        <v>63.5</v>
      </c>
      <c r="I8" s="2">
        <f t="shared" si="0"/>
        <v>3.0930000000000035</v>
      </c>
    </row>
    <row r="9" spans="1:11" x14ac:dyDescent="0.3">
      <c r="C9" t="s">
        <v>22</v>
      </c>
      <c r="D9">
        <v>1</v>
      </c>
      <c r="E9" s="3">
        <v>49</v>
      </c>
      <c r="I9" s="2"/>
    </row>
    <row r="10" spans="1:11" x14ac:dyDescent="0.3">
      <c r="I10" s="2"/>
    </row>
    <row r="11" spans="1:11" x14ac:dyDescent="0.3">
      <c r="A11" s="1">
        <v>45847</v>
      </c>
      <c r="B11" t="s">
        <v>25</v>
      </c>
      <c r="C11" t="s">
        <v>16</v>
      </c>
      <c r="D11">
        <v>3</v>
      </c>
      <c r="E11" s="3">
        <v>135</v>
      </c>
      <c r="F11" s="3">
        <v>135</v>
      </c>
      <c r="G11">
        <v>103.393</v>
      </c>
      <c r="H11">
        <v>87</v>
      </c>
      <c r="I11" s="2">
        <f t="shared" si="0"/>
        <v>16.393000000000001</v>
      </c>
    </row>
    <row r="12" spans="1:11" x14ac:dyDescent="0.3">
      <c r="B12" t="s">
        <v>26</v>
      </c>
      <c r="C12" t="s">
        <v>16</v>
      </c>
      <c r="D12">
        <v>1</v>
      </c>
      <c r="E12" s="3">
        <v>45</v>
      </c>
      <c r="F12" s="3">
        <v>45</v>
      </c>
      <c r="G12">
        <v>30.844000000000001</v>
      </c>
      <c r="H12">
        <v>29</v>
      </c>
      <c r="I12" s="2">
        <f t="shared" si="0"/>
        <v>1.8440000000000012</v>
      </c>
    </row>
    <row r="13" spans="1:11" x14ac:dyDescent="0.3">
      <c r="B13" t="s">
        <v>27</v>
      </c>
      <c r="C13" t="s">
        <v>16</v>
      </c>
      <c r="D13">
        <v>1</v>
      </c>
      <c r="E13" s="3">
        <v>45</v>
      </c>
      <c r="F13" s="3">
        <v>45</v>
      </c>
      <c r="G13">
        <v>30.844000000000001</v>
      </c>
      <c r="H13">
        <v>29</v>
      </c>
      <c r="I13" s="2">
        <f t="shared" si="0"/>
        <v>1.8440000000000012</v>
      </c>
      <c r="J13" t="s">
        <v>34</v>
      </c>
    </row>
    <row r="14" spans="1:11" x14ac:dyDescent="0.3">
      <c r="B14" t="s">
        <v>28</v>
      </c>
      <c r="C14" t="s">
        <v>16</v>
      </c>
      <c r="D14">
        <v>1</v>
      </c>
      <c r="E14" s="3">
        <v>45</v>
      </c>
      <c r="F14" s="3">
        <v>0</v>
      </c>
      <c r="G14">
        <v>30.844000000000001</v>
      </c>
      <c r="H14">
        <v>29</v>
      </c>
      <c r="I14" s="2">
        <f t="shared" si="0"/>
        <v>1.8440000000000012</v>
      </c>
    </row>
    <row r="15" spans="1:11" x14ac:dyDescent="0.3">
      <c r="B15" t="s">
        <v>29</v>
      </c>
      <c r="C15" t="s">
        <v>20</v>
      </c>
      <c r="D15">
        <v>3</v>
      </c>
      <c r="E15" s="3">
        <v>75</v>
      </c>
      <c r="F15" s="3">
        <v>75</v>
      </c>
      <c r="G15">
        <v>56.106999999999999</v>
      </c>
      <c r="H15">
        <v>57</v>
      </c>
      <c r="I15" s="2">
        <f t="shared" si="0"/>
        <v>-0.89300000000000068</v>
      </c>
    </row>
    <row r="16" spans="1:11" x14ac:dyDescent="0.3">
      <c r="B16" t="s">
        <v>30</v>
      </c>
      <c r="C16" t="s">
        <v>16</v>
      </c>
      <c r="D16">
        <v>1</v>
      </c>
      <c r="E16" s="3">
        <v>45</v>
      </c>
      <c r="F16" s="3">
        <v>45</v>
      </c>
      <c r="G16">
        <v>30.844000000000001</v>
      </c>
      <c r="H16">
        <v>29</v>
      </c>
      <c r="I16" s="2">
        <f t="shared" si="0"/>
        <v>1.8440000000000012</v>
      </c>
    </row>
    <row r="17" spans="1:10" x14ac:dyDescent="0.3">
      <c r="B17" t="s">
        <v>31</v>
      </c>
      <c r="C17" t="s">
        <v>16</v>
      </c>
      <c r="D17">
        <v>2</v>
      </c>
      <c r="E17" s="3">
        <v>90</v>
      </c>
      <c r="F17" s="3">
        <v>90</v>
      </c>
      <c r="G17">
        <v>67.929000000000002</v>
      </c>
      <c r="H17">
        <v>58</v>
      </c>
      <c r="I17" s="2">
        <f t="shared" si="0"/>
        <v>9.929000000000002</v>
      </c>
    </row>
    <row r="18" spans="1:10" x14ac:dyDescent="0.3">
      <c r="B18" t="s">
        <v>32</v>
      </c>
      <c r="C18" t="s">
        <v>16</v>
      </c>
      <c r="D18">
        <v>1</v>
      </c>
      <c r="E18" s="3">
        <v>45</v>
      </c>
      <c r="F18" s="3">
        <v>45</v>
      </c>
      <c r="G18">
        <v>30.844000000000001</v>
      </c>
      <c r="H18">
        <v>29</v>
      </c>
      <c r="I18" s="2">
        <f t="shared" si="0"/>
        <v>1.8440000000000012</v>
      </c>
    </row>
    <row r="19" spans="1:10" x14ac:dyDescent="0.3">
      <c r="B19" t="s">
        <v>33</v>
      </c>
      <c r="C19" t="s">
        <v>16</v>
      </c>
      <c r="D19">
        <v>1</v>
      </c>
      <c r="E19" s="3">
        <v>45</v>
      </c>
      <c r="F19" s="3">
        <v>45</v>
      </c>
      <c r="G19">
        <v>30.844000000000001</v>
      </c>
      <c r="H19">
        <v>29</v>
      </c>
      <c r="I19" s="2">
        <f t="shared" si="0"/>
        <v>1.8440000000000012</v>
      </c>
    </row>
    <row r="20" spans="1:10" x14ac:dyDescent="0.3">
      <c r="I20" s="2"/>
    </row>
    <row r="21" spans="1:10" x14ac:dyDescent="0.3">
      <c r="A21" s="5">
        <v>45908</v>
      </c>
      <c r="B21" t="s">
        <v>35</v>
      </c>
      <c r="C21" t="s">
        <v>16</v>
      </c>
      <c r="D21">
        <v>2</v>
      </c>
      <c r="E21" s="3">
        <v>45</v>
      </c>
      <c r="F21" s="3">
        <v>90</v>
      </c>
      <c r="G21" s="2">
        <v>67.929000000000002</v>
      </c>
      <c r="H21">
        <v>58</v>
      </c>
      <c r="I21" s="2">
        <f t="shared" si="0"/>
        <v>9.929000000000002</v>
      </c>
    </row>
    <row r="22" spans="1:10" x14ac:dyDescent="0.3">
      <c r="A22" s="5">
        <v>45908</v>
      </c>
      <c r="B22" t="s">
        <v>36</v>
      </c>
      <c r="C22" t="s">
        <v>16</v>
      </c>
      <c r="D22">
        <v>1</v>
      </c>
      <c r="E22" s="3">
        <v>45</v>
      </c>
      <c r="F22" s="3">
        <v>45</v>
      </c>
      <c r="G22">
        <v>30.844000000000001</v>
      </c>
      <c r="H22">
        <v>29</v>
      </c>
      <c r="I22" s="2">
        <f t="shared" si="0"/>
        <v>1.8440000000000012</v>
      </c>
    </row>
    <row r="23" spans="1:10" x14ac:dyDescent="0.3">
      <c r="A23" s="5">
        <v>45908</v>
      </c>
      <c r="B23" t="s">
        <v>37</v>
      </c>
      <c r="C23" t="s">
        <v>16</v>
      </c>
      <c r="D23">
        <v>1</v>
      </c>
      <c r="E23" s="3">
        <v>45</v>
      </c>
      <c r="F23" s="3">
        <v>45</v>
      </c>
      <c r="G23">
        <v>30.844000000000001</v>
      </c>
      <c r="H23">
        <v>29</v>
      </c>
      <c r="I23" s="2">
        <f t="shared" si="0"/>
        <v>1.8440000000000012</v>
      </c>
    </row>
    <row r="24" spans="1:10" x14ac:dyDescent="0.3">
      <c r="A24" s="5">
        <v>45908</v>
      </c>
      <c r="B24" t="s">
        <v>38</v>
      </c>
      <c r="C24" t="s">
        <v>16</v>
      </c>
      <c r="D24">
        <v>1</v>
      </c>
      <c r="E24" s="3">
        <v>45</v>
      </c>
      <c r="F24" s="3">
        <v>45</v>
      </c>
      <c r="G24">
        <v>30.844000000000001</v>
      </c>
      <c r="H24">
        <v>29</v>
      </c>
      <c r="I24" s="2">
        <f t="shared" si="0"/>
        <v>1.8440000000000012</v>
      </c>
    </row>
    <row r="25" spans="1:10" x14ac:dyDescent="0.3">
      <c r="A25" s="5">
        <v>45908</v>
      </c>
      <c r="B25" t="s">
        <v>39</v>
      </c>
      <c r="C25" t="s">
        <v>16</v>
      </c>
      <c r="D25">
        <v>1</v>
      </c>
      <c r="E25" s="3">
        <v>45</v>
      </c>
      <c r="F25" s="3">
        <v>45</v>
      </c>
      <c r="G25">
        <v>30.844000000000001</v>
      </c>
      <c r="H25">
        <v>29</v>
      </c>
      <c r="I25" s="2">
        <f t="shared" si="0"/>
        <v>1.8440000000000012</v>
      </c>
      <c r="J25" t="s">
        <v>51</v>
      </c>
    </row>
    <row r="26" spans="1:10" x14ac:dyDescent="0.3">
      <c r="A26" s="5">
        <v>45908</v>
      </c>
      <c r="B26" t="s">
        <v>40</v>
      </c>
      <c r="C26" t="s">
        <v>16</v>
      </c>
      <c r="D26">
        <v>1</v>
      </c>
      <c r="E26" s="3">
        <v>45</v>
      </c>
      <c r="F26" s="3">
        <v>45</v>
      </c>
      <c r="G26">
        <v>30.844000000000001</v>
      </c>
      <c r="H26">
        <v>29</v>
      </c>
      <c r="I26" s="2">
        <f t="shared" si="0"/>
        <v>1.8440000000000012</v>
      </c>
      <c r="J26" s="2">
        <f>SUM(I21:I33)</f>
        <v>54.691000000000017</v>
      </c>
    </row>
    <row r="27" spans="1:10" x14ac:dyDescent="0.3">
      <c r="A27" s="6">
        <v>45908</v>
      </c>
      <c r="B27" t="s">
        <v>41</v>
      </c>
      <c r="C27" t="s">
        <v>16</v>
      </c>
      <c r="D27">
        <v>1</v>
      </c>
      <c r="E27" s="3">
        <v>45</v>
      </c>
      <c r="F27" s="3">
        <v>45</v>
      </c>
      <c r="G27">
        <v>30.844000000000001</v>
      </c>
      <c r="H27">
        <v>29</v>
      </c>
      <c r="I27" s="2">
        <f t="shared" si="0"/>
        <v>1.8440000000000012</v>
      </c>
    </row>
    <row r="28" spans="1:10" x14ac:dyDescent="0.3">
      <c r="A28" s="5">
        <v>45908</v>
      </c>
      <c r="B28" t="s">
        <v>42</v>
      </c>
      <c r="C28" t="s">
        <v>16</v>
      </c>
      <c r="D28">
        <v>1</v>
      </c>
      <c r="E28" s="3">
        <v>45</v>
      </c>
      <c r="F28" s="3">
        <v>45</v>
      </c>
      <c r="G28">
        <v>30.844000000000001</v>
      </c>
      <c r="H28">
        <v>29</v>
      </c>
      <c r="I28" s="2">
        <f t="shared" si="0"/>
        <v>1.8440000000000012</v>
      </c>
    </row>
    <row r="29" spans="1:10" x14ac:dyDescent="0.3">
      <c r="A29" s="5">
        <v>45908</v>
      </c>
      <c r="B29" t="s">
        <v>43</v>
      </c>
      <c r="C29" t="s">
        <v>16</v>
      </c>
      <c r="D29">
        <v>1</v>
      </c>
      <c r="E29" s="3">
        <v>45</v>
      </c>
      <c r="F29" s="3">
        <v>45</v>
      </c>
      <c r="G29">
        <v>30.844000000000001</v>
      </c>
      <c r="H29">
        <v>29</v>
      </c>
      <c r="I29" s="2">
        <f t="shared" si="0"/>
        <v>1.8440000000000012</v>
      </c>
    </row>
    <row r="30" spans="1:10" x14ac:dyDescent="0.3">
      <c r="A30" s="5">
        <v>45908</v>
      </c>
      <c r="B30" t="s">
        <v>44</v>
      </c>
      <c r="C30" t="s">
        <v>16</v>
      </c>
      <c r="D30">
        <v>1</v>
      </c>
      <c r="E30" s="3">
        <v>45</v>
      </c>
      <c r="F30" s="3">
        <v>45</v>
      </c>
      <c r="G30">
        <v>30.844000000000001</v>
      </c>
      <c r="H30">
        <v>29</v>
      </c>
      <c r="I30" s="2">
        <f t="shared" si="0"/>
        <v>1.8440000000000012</v>
      </c>
    </row>
    <row r="31" spans="1:10" x14ac:dyDescent="0.3">
      <c r="A31" s="5">
        <v>45908</v>
      </c>
      <c r="B31" t="s">
        <v>45</v>
      </c>
      <c r="C31" t="s">
        <v>16</v>
      </c>
      <c r="D31">
        <v>2</v>
      </c>
      <c r="E31" s="3">
        <v>45</v>
      </c>
      <c r="F31" s="3">
        <v>90</v>
      </c>
      <c r="G31">
        <v>67.929000000000002</v>
      </c>
      <c r="H31">
        <v>58</v>
      </c>
      <c r="I31" s="2">
        <f t="shared" si="0"/>
        <v>9.929000000000002</v>
      </c>
    </row>
    <row r="32" spans="1:10" x14ac:dyDescent="0.3">
      <c r="A32" s="5">
        <v>45908</v>
      </c>
      <c r="B32" t="s">
        <v>46</v>
      </c>
      <c r="C32" t="s">
        <v>16</v>
      </c>
      <c r="D32">
        <v>3</v>
      </c>
      <c r="E32" s="3">
        <v>45</v>
      </c>
      <c r="F32" s="3">
        <v>135</v>
      </c>
      <c r="G32">
        <v>103.393</v>
      </c>
      <c r="H32">
        <v>87</v>
      </c>
      <c r="I32" s="2">
        <f t="shared" si="0"/>
        <v>16.393000000000001</v>
      </c>
    </row>
    <row r="33" spans="1:10" x14ac:dyDescent="0.3">
      <c r="A33" s="5">
        <v>45908</v>
      </c>
      <c r="B33" t="s">
        <v>47</v>
      </c>
      <c r="C33" t="s">
        <v>16</v>
      </c>
      <c r="D33">
        <v>1</v>
      </c>
      <c r="E33" s="3">
        <v>45</v>
      </c>
      <c r="F33" s="3">
        <v>45</v>
      </c>
      <c r="G33">
        <v>30.844000000000001</v>
      </c>
      <c r="H33">
        <v>29</v>
      </c>
      <c r="I33" s="2">
        <f t="shared" si="0"/>
        <v>1.8440000000000012</v>
      </c>
    </row>
    <row r="34" spans="1:10" x14ac:dyDescent="0.3">
      <c r="A34" s="7">
        <v>45908</v>
      </c>
      <c r="B34" s="8" t="s">
        <v>48</v>
      </c>
      <c r="C34" s="8" t="s">
        <v>16</v>
      </c>
      <c r="D34" s="8">
        <v>1</v>
      </c>
      <c r="E34" s="9">
        <v>45</v>
      </c>
      <c r="F34" s="9">
        <v>45</v>
      </c>
      <c r="G34" s="8">
        <v>30.844000000000001</v>
      </c>
      <c r="H34" s="8">
        <v>29</v>
      </c>
      <c r="I34" s="10">
        <f t="shared" si="0"/>
        <v>1.8440000000000012</v>
      </c>
    </row>
    <row r="35" spans="1:10" x14ac:dyDescent="0.3">
      <c r="A35" s="5"/>
      <c r="I35" s="2"/>
    </row>
    <row r="36" spans="1:10" x14ac:dyDescent="0.3">
      <c r="A36" s="5">
        <v>45909</v>
      </c>
      <c r="B36" t="s">
        <v>49</v>
      </c>
      <c r="C36" t="s">
        <v>50</v>
      </c>
      <c r="D36">
        <v>1</v>
      </c>
      <c r="E36" s="3">
        <v>45</v>
      </c>
      <c r="F36" s="3">
        <v>45</v>
      </c>
      <c r="G36">
        <v>30.844000000000001</v>
      </c>
      <c r="H36">
        <v>29</v>
      </c>
      <c r="I36" s="2">
        <f t="shared" si="0"/>
        <v>1.8440000000000012</v>
      </c>
      <c r="J36" s="11">
        <v>75810</v>
      </c>
    </row>
    <row r="37" spans="1:10" x14ac:dyDescent="0.3">
      <c r="A37" s="5">
        <v>45909</v>
      </c>
      <c r="B37" t="s">
        <v>52</v>
      </c>
      <c r="C37" t="s">
        <v>50</v>
      </c>
      <c r="D37">
        <v>1</v>
      </c>
      <c r="E37" s="3">
        <v>45</v>
      </c>
      <c r="F37" s="3">
        <v>45</v>
      </c>
      <c r="G37">
        <v>30.844000000000001</v>
      </c>
      <c r="H37">
        <v>29</v>
      </c>
      <c r="I37" s="2">
        <f t="shared" si="0"/>
        <v>1.8440000000000012</v>
      </c>
    </row>
    <row r="38" spans="1:10" x14ac:dyDescent="0.3">
      <c r="A38" s="5">
        <v>45909</v>
      </c>
      <c r="B38" t="s">
        <v>53</v>
      </c>
      <c r="C38" t="s">
        <v>50</v>
      </c>
      <c r="D38">
        <v>1</v>
      </c>
      <c r="E38" s="3">
        <v>45</v>
      </c>
      <c r="F38" s="3">
        <v>45</v>
      </c>
      <c r="G38">
        <v>30.844000000000001</v>
      </c>
      <c r="H38">
        <v>29</v>
      </c>
      <c r="I38" s="2">
        <f t="shared" si="0"/>
        <v>1.8440000000000012</v>
      </c>
      <c r="J38" s="11">
        <v>30844</v>
      </c>
    </row>
    <row r="39" spans="1:10" x14ac:dyDescent="0.3">
      <c r="A39" s="5">
        <v>45909</v>
      </c>
      <c r="B39" t="s">
        <v>54</v>
      </c>
      <c r="C39" t="s">
        <v>50</v>
      </c>
      <c r="D39">
        <v>2</v>
      </c>
      <c r="E39" s="3">
        <v>45</v>
      </c>
      <c r="F39" s="3">
        <v>90</v>
      </c>
      <c r="G39">
        <v>67.929000000000002</v>
      </c>
      <c r="H39">
        <v>58</v>
      </c>
      <c r="I39" s="2">
        <f t="shared" si="0"/>
        <v>9.929000000000002</v>
      </c>
      <c r="J39" s="11">
        <v>66309</v>
      </c>
    </row>
    <row r="40" spans="1:10" x14ac:dyDescent="0.3">
      <c r="A40" s="5">
        <v>45909</v>
      </c>
      <c r="B40" t="s">
        <v>55</v>
      </c>
      <c r="C40" t="s">
        <v>50</v>
      </c>
      <c r="D40">
        <v>1</v>
      </c>
      <c r="E40" s="3">
        <v>45</v>
      </c>
      <c r="F40" s="3">
        <v>45</v>
      </c>
      <c r="G40">
        <v>30.844000000000001</v>
      </c>
      <c r="H40">
        <v>29</v>
      </c>
      <c r="I40" s="2">
        <f t="shared" si="0"/>
        <v>1.8440000000000012</v>
      </c>
    </row>
    <row r="41" spans="1:10" x14ac:dyDescent="0.3">
      <c r="A41" s="5">
        <v>45909</v>
      </c>
      <c r="B41" t="s">
        <v>56</v>
      </c>
      <c r="C41" t="s">
        <v>50</v>
      </c>
      <c r="D41">
        <v>2</v>
      </c>
      <c r="E41" s="3">
        <v>45</v>
      </c>
      <c r="F41" s="3">
        <v>90</v>
      </c>
      <c r="G41">
        <v>67.929000000000002</v>
      </c>
      <c r="H41">
        <v>58</v>
      </c>
      <c r="I41" s="2">
        <f t="shared" si="0"/>
        <v>9.929000000000002</v>
      </c>
      <c r="J41" s="12"/>
    </row>
    <row r="42" spans="1:10" x14ac:dyDescent="0.3">
      <c r="A42" s="5">
        <v>45909</v>
      </c>
      <c r="B42" t="s">
        <v>57</v>
      </c>
      <c r="C42" t="s">
        <v>50</v>
      </c>
      <c r="D42">
        <v>1</v>
      </c>
      <c r="E42" s="3">
        <v>50</v>
      </c>
      <c r="F42" s="3">
        <v>50</v>
      </c>
      <c r="G42" s="3">
        <v>34.784999999999997</v>
      </c>
      <c r="H42">
        <v>29</v>
      </c>
      <c r="I42" s="2">
        <f t="shared" si="0"/>
        <v>5.7849999999999966</v>
      </c>
      <c r="J42" s="12"/>
    </row>
    <row r="43" spans="1:10" x14ac:dyDescent="0.3">
      <c r="A43" s="5">
        <v>45909</v>
      </c>
      <c r="B43" t="s">
        <v>58</v>
      </c>
      <c r="C43" t="s">
        <v>50</v>
      </c>
      <c r="D43">
        <v>1</v>
      </c>
      <c r="E43" s="3">
        <v>50</v>
      </c>
      <c r="F43" s="3">
        <v>50</v>
      </c>
      <c r="G43" s="3">
        <v>34.784999999999997</v>
      </c>
      <c r="H43">
        <v>29</v>
      </c>
      <c r="I43" s="2">
        <f t="shared" si="0"/>
        <v>5.7849999999999966</v>
      </c>
      <c r="J43" s="13">
        <v>73969</v>
      </c>
    </row>
    <row r="44" spans="1:10" x14ac:dyDescent="0.3">
      <c r="A44" s="5">
        <v>45909</v>
      </c>
      <c r="B44" t="s">
        <v>59</v>
      </c>
      <c r="C44" t="s">
        <v>50</v>
      </c>
      <c r="D44">
        <v>1</v>
      </c>
      <c r="E44" s="3">
        <v>50</v>
      </c>
      <c r="F44" s="3">
        <v>50</v>
      </c>
      <c r="G44" s="3">
        <v>34.784999999999997</v>
      </c>
      <c r="H44" s="3">
        <v>29</v>
      </c>
      <c r="I44" s="2">
        <f t="shared" si="0"/>
        <v>5.7849999999999966</v>
      </c>
      <c r="J44" s="12"/>
    </row>
    <row r="45" spans="1:10" x14ac:dyDescent="0.3">
      <c r="A45" s="5">
        <v>45909</v>
      </c>
      <c r="B45" t="s">
        <v>60</v>
      </c>
      <c r="C45" t="s">
        <v>50</v>
      </c>
      <c r="D45">
        <v>2</v>
      </c>
      <c r="E45" s="3">
        <v>50</v>
      </c>
      <c r="F45" s="3">
        <v>100</v>
      </c>
      <c r="G45" s="3">
        <v>75.81</v>
      </c>
      <c r="H45">
        <v>58</v>
      </c>
      <c r="I45" s="2">
        <f t="shared" si="0"/>
        <v>17.810000000000002</v>
      </c>
    </row>
    <row r="46" spans="1:10" x14ac:dyDescent="0.3">
      <c r="A46" s="5">
        <v>45909</v>
      </c>
      <c r="B46" t="s">
        <v>61</v>
      </c>
      <c r="C46" t="s">
        <v>50</v>
      </c>
      <c r="D46">
        <v>1</v>
      </c>
      <c r="E46" s="3">
        <v>50</v>
      </c>
      <c r="F46" s="3">
        <v>50</v>
      </c>
      <c r="G46" s="3">
        <v>34.784999999999997</v>
      </c>
      <c r="H46" s="3">
        <v>29</v>
      </c>
      <c r="I46" s="2">
        <f t="shared" si="0"/>
        <v>5.7849999999999966</v>
      </c>
    </row>
    <row r="47" spans="1:10" x14ac:dyDescent="0.3">
      <c r="A47" s="5">
        <v>45909</v>
      </c>
      <c r="B47" t="s">
        <v>62</v>
      </c>
      <c r="C47" t="s">
        <v>50</v>
      </c>
      <c r="D47">
        <v>1</v>
      </c>
      <c r="E47" s="3">
        <v>50</v>
      </c>
      <c r="F47" s="3">
        <v>50</v>
      </c>
      <c r="G47" s="3">
        <v>34.784999999999997</v>
      </c>
      <c r="H47" s="3">
        <v>29</v>
      </c>
      <c r="I47" s="2">
        <f t="shared" si="0"/>
        <v>5.7849999999999966</v>
      </c>
    </row>
    <row r="48" spans="1:10" x14ac:dyDescent="0.3">
      <c r="A48" s="5">
        <v>45909</v>
      </c>
      <c r="B48" t="s">
        <v>63</v>
      </c>
      <c r="C48" t="s">
        <v>64</v>
      </c>
      <c r="D48">
        <v>2</v>
      </c>
      <c r="E48" s="3">
        <v>20</v>
      </c>
      <c r="F48" s="3">
        <v>40</v>
      </c>
      <c r="G48" s="3">
        <v>28.524000000000001</v>
      </c>
      <c r="H48" s="3">
        <v>24</v>
      </c>
      <c r="I48" s="2">
        <f t="shared" si="0"/>
        <v>4.5240000000000009</v>
      </c>
    </row>
    <row r="49" spans="1:10" x14ac:dyDescent="0.3">
      <c r="A49" s="5">
        <v>45909</v>
      </c>
      <c r="B49" t="s">
        <v>65</v>
      </c>
      <c r="C49" t="s">
        <v>66</v>
      </c>
      <c r="D49">
        <v>1</v>
      </c>
      <c r="E49" s="3">
        <v>330</v>
      </c>
      <c r="F49" s="3">
        <v>330</v>
      </c>
      <c r="G49" s="3">
        <v>257.07299999999998</v>
      </c>
      <c r="H49">
        <v>252</v>
      </c>
      <c r="I49" s="2">
        <f t="shared" si="0"/>
        <v>5.0729999999999791</v>
      </c>
    </row>
    <row r="50" spans="1:10" x14ac:dyDescent="0.3">
      <c r="G50" s="3"/>
      <c r="I50" s="2"/>
    </row>
    <row r="51" spans="1:10" x14ac:dyDescent="0.3">
      <c r="A51" s="5">
        <v>45910</v>
      </c>
      <c r="B51" t="s">
        <v>67</v>
      </c>
      <c r="C51" t="s">
        <v>50</v>
      </c>
      <c r="D51">
        <v>1</v>
      </c>
      <c r="E51" s="3">
        <v>50</v>
      </c>
      <c r="F51" s="3">
        <v>50</v>
      </c>
      <c r="G51" s="3">
        <v>34.784999999999997</v>
      </c>
      <c r="H51">
        <v>29</v>
      </c>
      <c r="I51" s="2">
        <f t="shared" si="0"/>
        <v>5.7849999999999966</v>
      </c>
      <c r="J51" s="12"/>
    </row>
    <row r="52" spans="1:10" x14ac:dyDescent="0.3">
      <c r="A52" s="5">
        <v>45910</v>
      </c>
      <c r="B52" t="s">
        <v>68</v>
      </c>
      <c r="C52" t="s">
        <v>69</v>
      </c>
      <c r="D52">
        <v>1</v>
      </c>
      <c r="E52" s="3">
        <v>49</v>
      </c>
      <c r="F52" s="3">
        <v>49</v>
      </c>
      <c r="G52" s="3">
        <v>33.997</v>
      </c>
      <c r="I52" s="2">
        <f t="shared" si="0"/>
        <v>33.997</v>
      </c>
      <c r="J52" s="13">
        <v>44902</v>
      </c>
    </row>
    <row r="53" spans="1:10" x14ac:dyDescent="0.3">
      <c r="A53" s="5">
        <v>45910</v>
      </c>
      <c r="B53" t="s">
        <v>70</v>
      </c>
      <c r="C53" t="s">
        <v>71</v>
      </c>
      <c r="D53">
        <v>1</v>
      </c>
      <c r="E53" s="3">
        <v>105</v>
      </c>
      <c r="F53" s="3">
        <v>105</v>
      </c>
      <c r="G53" s="3">
        <v>79.75</v>
      </c>
      <c r="H53">
        <v>75</v>
      </c>
      <c r="I53" s="2">
        <f t="shared" si="0"/>
        <v>4.75</v>
      </c>
      <c r="J53" s="12"/>
    </row>
    <row r="54" spans="1:10" x14ac:dyDescent="0.3">
      <c r="A54" s="5">
        <v>45910</v>
      </c>
      <c r="B54" t="s">
        <v>72</v>
      </c>
      <c r="C54" t="s">
        <v>73</v>
      </c>
      <c r="D54">
        <v>2</v>
      </c>
      <c r="E54" s="3">
        <v>45</v>
      </c>
      <c r="F54" s="3">
        <v>90</v>
      </c>
      <c r="G54" s="3">
        <v>68.37</v>
      </c>
      <c r="H54" s="3">
        <v>68</v>
      </c>
      <c r="I54" s="2">
        <f t="shared" si="0"/>
        <v>0.37000000000000455</v>
      </c>
      <c r="J54" s="12"/>
    </row>
    <row r="55" spans="1:10" x14ac:dyDescent="0.3">
      <c r="I55" s="2"/>
    </row>
    <row r="56" spans="1:10" x14ac:dyDescent="0.3">
      <c r="A56" s="5">
        <v>45911</v>
      </c>
      <c r="B56" t="s">
        <v>74</v>
      </c>
      <c r="C56" t="s">
        <v>75</v>
      </c>
      <c r="D56">
        <v>2</v>
      </c>
      <c r="E56" s="3">
        <v>55</v>
      </c>
      <c r="F56" s="3">
        <v>110</v>
      </c>
      <c r="G56" s="3">
        <v>82.070999999999998</v>
      </c>
      <c r="H56" s="3">
        <v>48</v>
      </c>
      <c r="I56" s="2">
        <f t="shared" si="0"/>
        <v>34.070999999999998</v>
      </c>
      <c r="J56" s="12"/>
    </row>
    <row r="57" spans="1:10" x14ac:dyDescent="0.3">
      <c r="A57" s="5">
        <v>45911</v>
      </c>
      <c r="B57" t="s">
        <v>76</v>
      </c>
      <c r="C57" t="s">
        <v>75</v>
      </c>
      <c r="D57">
        <v>1</v>
      </c>
      <c r="E57" s="3">
        <v>55</v>
      </c>
      <c r="F57" s="3">
        <v>55</v>
      </c>
      <c r="G57" s="3">
        <v>40.344999999999999</v>
      </c>
      <c r="H57" s="3">
        <v>24</v>
      </c>
      <c r="I57" s="2">
        <f t="shared" si="0"/>
        <v>16.344999999999999</v>
      </c>
      <c r="J57" s="13">
        <v>48145</v>
      </c>
    </row>
    <row r="58" spans="1:10" x14ac:dyDescent="0.3">
      <c r="A58" s="5">
        <v>45911</v>
      </c>
      <c r="B58" t="s">
        <v>77</v>
      </c>
      <c r="C58" t="s">
        <v>78</v>
      </c>
      <c r="D58" t="s">
        <v>79</v>
      </c>
      <c r="E58" s="3">
        <v>90</v>
      </c>
      <c r="F58" s="3">
        <v>90</v>
      </c>
      <c r="G58" s="3">
        <v>67.929000000000002</v>
      </c>
      <c r="H58" s="3">
        <v>70.2</v>
      </c>
      <c r="I58" s="2">
        <f t="shared" si="0"/>
        <v>-2.2710000000000008</v>
      </c>
      <c r="J58" s="12"/>
    </row>
    <row r="59" spans="1:10" x14ac:dyDescent="0.3">
      <c r="I59" s="2">
        <f t="shared" si="0"/>
        <v>0</v>
      </c>
    </row>
    <row r="60" spans="1:10" x14ac:dyDescent="0.3">
      <c r="A60" s="5">
        <v>45913</v>
      </c>
      <c r="B60" t="s">
        <v>80</v>
      </c>
      <c r="C60" t="s">
        <v>81</v>
      </c>
      <c r="D60">
        <v>5</v>
      </c>
      <c r="E60" s="3">
        <v>60</v>
      </c>
      <c r="F60" s="3">
        <v>60</v>
      </c>
      <c r="G60" s="3">
        <v>42.665999999999997</v>
      </c>
      <c r="H60" s="3">
        <v>41</v>
      </c>
      <c r="I60" s="2">
        <f t="shared" si="0"/>
        <v>1.6659999999999968</v>
      </c>
    </row>
    <row r="61" spans="1:10" x14ac:dyDescent="0.3">
      <c r="A61" s="5">
        <v>45913</v>
      </c>
      <c r="B61" t="s">
        <v>82</v>
      </c>
      <c r="C61" t="s">
        <v>20</v>
      </c>
      <c r="D61">
        <v>2</v>
      </c>
      <c r="E61" s="3">
        <v>84</v>
      </c>
      <c r="F61" s="3">
        <v>168</v>
      </c>
      <c r="G61" s="3">
        <v>127.78100000000001</v>
      </c>
      <c r="H61" s="3">
        <v>114</v>
      </c>
      <c r="I61" s="2">
        <f t="shared" si="0"/>
        <v>13.781000000000006</v>
      </c>
    </row>
    <row r="62" spans="1:10" x14ac:dyDescent="0.3">
      <c r="A62" s="5">
        <v>45913</v>
      </c>
      <c r="B62" t="s">
        <v>83</v>
      </c>
      <c r="C62" t="s">
        <v>84</v>
      </c>
      <c r="D62">
        <v>1</v>
      </c>
      <c r="E62" s="3">
        <v>75</v>
      </c>
      <c r="F62" s="3">
        <v>75</v>
      </c>
      <c r="G62" s="3">
        <v>54.487000000000002</v>
      </c>
      <c r="H62" s="3">
        <v>50</v>
      </c>
      <c r="I62" s="2">
        <f t="shared" si="0"/>
        <v>4.4870000000000019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2025-09-06T16:17:02Z</dcterms:created>
  <dcterms:modified xsi:type="dcterms:W3CDTF">2025-09-13T15:58:43Z</dcterms:modified>
</cp:coreProperties>
</file>